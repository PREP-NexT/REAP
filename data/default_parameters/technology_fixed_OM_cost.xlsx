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PREP-SHOT_sherry_nov\PREP-SHOT_sherry_nov\default_parameter\"/>
    </mc:Choice>
  </mc:AlternateContent>
  <xr:revisionPtr revIDLastSave="0" documentId="13_ncr:1_{674EB093-F756-4F0D-9940-208E8DE04070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F2437A48-5928-4D3F-BC33-DD92086B32C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dollar/MW/yr</t>
        </r>
      </text>
    </comment>
    <comment ref="E1" authorId="0" shapeId="0" xr:uid="{179E5F9E-7667-4EA1-AECF-987F9C470FC7}">
      <text>
        <r>
          <rPr>
            <b/>
            <sz val="9"/>
            <color indexed="81"/>
            <rFont val="Tahoma"/>
            <charset val="1"/>
          </rPr>
          <t>Shuyue Sherry Yan:</t>
        </r>
        <r>
          <rPr>
            <sz val="9"/>
            <color indexed="81"/>
            <rFont val="Tahoma"/>
            <charset val="1"/>
          </rPr>
          <t xml:space="preserve">
新加坡用的是锂电池：
https://www.sembcorp.com/media/s5mdugo2/news-release-southeast-asia-s-largest-energy-storage-system-officially-opens.pdf</t>
        </r>
      </text>
    </comment>
    <comment ref="I1" authorId="0" shapeId="0" xr:uid="{E1313D49-395A-4449-BEFB-793E2963A06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J1" authorId="0" shapeId="0" xr:uid="{1950FA62-B5F2-48CE-96E7-BD96B585AF65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K1" authorId="0" shapeId="0" xr:uid="{4ACC1AFF-4498-4FC5-A2FC-932CA9960FC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L1" authorId="0" shapeId="0" xr:uid="{FC3C7676-D72E-4A17-B73B-A5B4644034F1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M1" authorId="0" shapeId="0" xr:uid="{54787008-CE95-4BEF-B2E0-668144AB4B5F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B3" authorId="0" shapeId="0" xr:uid="{112B9EBB-73CF-44CB-A57C-F09CA903070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ASEAN OUTLOOK 8TH，注意单位是thousand usd, 因为新加坡CCGT和OCGT都有，所以用均值27.4：
https://aseanenergy.org/wp-content/uploads/2024/09/8th-ASEAN-Energy-Outlook.pdf</t>
        </r>
      </text>
    </comment>
    <comment ref="C3" authorId="0" shapeId="0" xr:uid="{B93B2E69-FD40-4B2C-A1FF-12EABD05C322}">
      <text>
        <r>
          <rPr>
            <b/>
            <sz val="9"/>
            <color indexed="81"/>
            <rFont val="Tahoma"/>
            <family val="2"/>
          </rPr>
          <t xml:space="preserve">Shuyue Sherry Yan:
</t>
        </r>
        <r>
          <rPr>
            <sz val="9"/>
            <color indexed="81"/>
            <rFont val="Tahoma"/>
            <family val="2"/>
          </rPr>
          <t>ASEAN OUTLOOK 8TH，注意单位是thousand usd, 因为新加坡有foating，用了最贵的9k，也就是9000：
https://aseanenergy.org/wp-content/uploads/2024/09/8th-ASEAN-Energy-Outlook.pdf</t>
        </r>
      </text>
    </comment>
    <comment ref="D3" authorId="0" shapeId="0" xr:uid="{7F299D80-753C-43C7-8B3F-95A6BCD77DA1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Shuyue Sherry Yan:
ASEAN OUTLOOK 8th，注意单位是thousand usd, 因为新加坡主要是waste，也有别的所以用均值135.8：
https://aseanenergy.org/wp-content/uploads/2024/09/8th-ASEAN-Energy-Outlook.pdf</t>
        </r>
      </text>
    </comment>
    <comment ref="E3" authorId="0" shapeId="0" xr:uid="{B30C0D30-840D-44C4-AF44-467BEB92D60E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 Page 197, Lithium Ion Batteries,15.0
https://aseanenergy.org/wp-content/uploads/2024/09/8th-ASEAN-Energy-Outlook.pdf</t>
        </r>
      </text>
    </comment>
    <comment ref="F3" authorId="0" shapeId="0" xr:uid="{3322F7B0-BA78-456A-93A4-A1300449FF9F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Hydrogen Import使用的是Mitsubishi的数据(Page 17) $12.20 per kw-year. 这个本质上是烧H2的机器的OM cost</t>
        </r>
      </text>
    </comment>
    <comment ref="G3" authorId="0" shapeId="0" xr:uid="{281AFE60-CFA2-4CF1-80C3-01EAA2D6C4E8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 Page 197, 19.5
https://aseanenergy.org/wp-content/uploads/2024/09/8th-ASEAN-Energy-Outlook.pdf</t>
        </r>
      </text>
    </comment>
    <comment ref="H3" authorId="0" shapeId="0" xr:uid="{4344B0DB-A767-48EC-A85E-D67327D32C9A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8th ASEAN Outlook Page 197, Average, 132.4
https://aseanenergy.org/wp-content/uploads/2024/09/8th-ASEAN-Energy-Outlook.pdf</t>
        </r>
      </text>
    </comment>
    <comment ref="I3" authorId="0" shapeId="0" xr:uid="{B5A20ABA-6733-496E-8125-01ABA0B35D03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J3" authorId="0" shapeId="0" xr:uid="{24B39627-E720-4CB5-A4FA-E0071C077CDE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K3" authorId="0" shapeId="0" xr:uid="{47FA4020-C32B-43E2-B963-76FC8845BD7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L3" authorId="0" shapeId="0" xr:uid="{DAA3766D-52EE-4CF5-9DCB-C27BCB631503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M3" authorId="0" shapeId="0" xr:uid="{978AC0D3-8B06-4E5A-9192-3DC2C8F2944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  <comment ref="N3" authorId="0" shapeId="0" xr:uid="{43047CB2-157F-4C09-A345-633A3FF1B131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2% of the CAPEX</t>
        </r>
      </text>
    </comment>
  </commentList>
</comments>
</file>

<file path=xl/sharedStrings.xml><?xml version="1.0" encoding="utf-8"?>
<sst xmlns="http://schemas.openxmlformats.org/spreadsheetml/2006/main" count="15" uniqueCount="15">
  <si>
    <t>tech</t>
  </si>
  <si>
    <t>Solar</t>
  </si>
  <si>
    <t>year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</si>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</sst>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  <font>
      <sz val="9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3" applyFill="1" applyBorder="1"/>
    <xf numFmtId="0" fontId="0" fillId="0" borderId="1" xfId="0" applyBorder="1"/>
    <xf numFmtId="164" fontId="2" fillId="0" borderId="1" xfId="3" applyNumberFormat="1" applyBorder="1"/>
    <xf numFmtId="0" fontId="1" fillId="0" borderId="2" xfId="0" applyFont="1" applyBorder="1" applyAlignment="1">
      <alignment horizontal="center" vertical="top"/>
    </xf>
  </cellXfs>
  <cellStyles count="4">
    <cellStyle name="Normal 2" xfId="3" xr:uid="{A518A550-B7EB-4594-9579-3ADC477D12A3}"/>
    <cellStyle name="Normal 3" xfId="1" xr:uid="{D6F58F61-F91E-4323-81F3-3AE9C341F8B7}"/>
    <cellStyle name="常规" xfId="0" builtinId="0"/>
    <cellStyle name="常规 2" xfId="2" xr:uid="{1554CA9F-3A2E-43B1-937E-034422367F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PREP-SHOT_sherry_sep\input\technology_investment_cost.xlsx" TargetMode="External"/><Relationship Id="rId1" Type="http://schemas.openxmlformats.org/officeDocument/2006/relationships/externalLinkPath" Target="technology_investment_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N3">
            <v>490000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99" workbookViewId="0">
      <selection activeCell="F3" sqref="F3"/>
    </sheetView>
  </sheetViews>
  <sheetFormatPr defaultColWidth="8.77734375" defaultRowHeight="14.4"/>
  <cols>
    <col min="4" max="4" width="9.109375" bestFit="1" customWidth="1"/>
    <col min="5" max="5" width="14.33203125" bestFit="1" customWidth="1"/>
    <col min="6" max="6" width="15.77734375" bestFit="1" customWidth="1"/>
    <col min="7" max="7" width="14.21875" customWidth="1"/>
    <col min="8" max="8" width="13.5546875" customWidth="1"/>
    <col min="9" max="9" width="18.77734375" customWidth="1"/>
    <col min="10" max="10" width="21.5546875" customWidth="1"/>
    <col min="11" max="11" width="22.33203125" customWidth="1"/>
    <col min="12" max="12" width="21.5546875" customWidth="1"/>
    <col min="13" max="13" width="21.21875" customWidth="1"/>
    <col min="14" max="14" width="19.21875" customWidth="1"/>
  </cols>
  <sheetData>
    <row r="1" spans="1:14">
      <c r="A1" s="1" t="s">
        <v>0</v>
      </c>
      <c r="B1" s="1" t="s">
        <v>3</v>
      </c>
      <c r="C1" s="1" t="s">
        <v>1</v>
      </c>
      <c r="D1" s="1" t="s">
        <v>4</v>
      </c>
      <c r="E1" s="1" t="s">
        <v>13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9</v>
      </c>
      <c r="M1" s="1" t="s">
        <v>10</v>
      </c>
      <c r="N1" s="5" t="s">
        <v>14</v>
      </c>
    </row>
    <row r="2" spans="1:14">
      <c r="A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>
        <v>2020</v>
      </c>
      <c r="B3" s="4">
        <v>27400</v>
      </c>
      <c r="C3" s="4">
        <v>9000</v>
      </c>
      <c r="D3" s="4">
        <v>135800</v>
      </c>
      <c r="E3" s="4">
        <v>15000</v>
      </c>
      <c r="F3" s="4">
        <v>12200</v>
      </c>
      <c r="G3" s="4">
        <v>19500</v>
      </c>
      <c r="H3" s="4">
        <v>132400</v>
      </c>
      <c r="I3" s="4">
        <v>420</v>
      </c>
      <c r="J3" s="4">
        <v>14000</v>
      </c>
      <c r="K3" s="4">
        <v>12600</v>
      </c>
      <c r="L3" s="4">
        <v>60200</v>
      </c>
      <c r="M3" s="4">
        <v>17458</v>
      </c>
      <c r="N3" s="4">
        <f>[1]Sheet1!$N$3*0.02</f>
        <v>9800</v>
      </c>
    </row>
    <row r="4" spans="1:14">
      <c r="A4" s="3">
        <v>2025</v>
      </c>
      <c r="B4" s="4">
        <v>27400</v>
      </c>
      <c r="C4" s="4">
        <v>9000</v>
      </c>
      <c r="D4" s="4">
        <v>135800</v>
      </c>
      <c r="E4" s="4">
        <v>15000</v>
      </c>
      <c r="F4" s="4">
        <v>12200</v>
      </c>
      <c r="G4" s="4">
        <v>19500</v>
      </c>
      <c r="H4" s="4">
        <v>132400</v>
      </c>
      <c r="I4" s="4">
        <v>420</v>
      </c>
      <c r="J4" s="4">
        <v>14000</v>
      </c>
      <c r="K4" s="4">
        <v>12600</v>
      </c>
      <c r="L4" s="4">
        <v>60200</v>
      </c>
      <c r="M4" s="4">
        <v>17458</v>
      </c>
      <c r="N4" s="4">
        <f>[1]Sheet1!$N$3*0.02</f>
        <v>9800</v>
      </c>
    </row>
    <row r="5" spans="1:14">
      <c r="A5" s="3">
        <v>2030</v>
      </c>
      <c r="B5" s="4">
        <v>27400</v>
      </c>
      <c r="C5" s="4">
        <v>9000</v>
      </c>
      <c r="D5" s="4">
        <v>135800</v>
      </c>
      <c r="E5" s="4">
        <v>15000</v>
      </c>
      <c r="F5" s="4">
        <v>12200</v>
      </c>
      <c r="G5" s="4">
        <v>19500</v>
      </c>
      <c r="H5" s="4">
        <v>132400</v>
      </c>
      <c r="I5" s="4">
        <v>420</v>
      </c>
      <c r="J5" s="4">
        <v>14000</v>
      </c>
      <c r="K5" s="4">
        <v>12600</v>
      </c>
      <c r="L5" s="4">
        <v>60200</v>
      </c>
      <c r="M5" s="4">
        <v>17458</v>
      </c>
      <c r="N5" s="4">
        <f>[1]Sheet1!$N$3*0.02</f>
        <v>9800</v>
      </c>
    </row>
    <row r="6" spans="1:14">
      <c r="A6" s="3">
        <v>2035</v>
      </c>
      <c r="B6" s="4">
        <v>27400</v>
      </c>
      <c r="C6" s="4">
        <v>9000</v>
      </c>
      <c r="D6" s="4">
        <v>135800</v>
      </c>
      <c r="E6" s="4">
        <v>15000</v>
      </c>
      <c r="F6" s="4">
        <v>12200</v>
      </c>
      <c r="G6" s="4">
        <v>19500</v>
      </c>
      <c r="H6" s="4">
        <v>132400</v>
      </c>
      <c r="I6" s="4">
        <v>420</v>
      </c>
      <c r="J6" s="4">
        <v>14000</v>
      </c>
      <c r="K6" s="4">
        <v>12600</v>
      </c>
      <c r="L6" s="4">
        <v>60200</v>
      </c>
      <c r="M6" s="4">
        <v>17458</v>
      </c>
      <c r="N6" s="4">
        <f>[1]Sheet1!$N$3*0.02</f>
        <v>9800</v>
      </c>
    </row>
    <row r="7" spans="1:14">
      <c r="A7" s="3">
        <v>2040</v>
      </c>
      <c r="B7" s="4">
        <v>27400</v>
      </c>
      <c r="C7" s="4">
        <v>9000</v>
      </c>
      <c r="D7" s="4">
        <v>135800</v>
      </c>
      <c r="E7" s="4">
        <v>15000</v>
      </c>
      <c r="F7" s="4">
        <v>12200</v>
      </c>
      <c r="G7" s="4">
        <v>19500</v>
      </c>
      <c r="H7" s="4">
        <v>132400</v>
      </c>
      <c r="I7" s="4">
        <v>420</v>
      </c>
      <c r="J7" s="4">
        <v>14000</v>
      </c>
      <c r="K7" s="4">
        <v>12600</v>
      </c>
      <c r="L7" s="4">
        <v>60200</v>
      </c>
      <c r="M7" s="4">
        <v>17458</v>
      </c>
      <c r="N7" s="4">
        <f>[1]Sheet1!$N$3*0.02</f>
        <v>9800</v>
      </c>
    </row>
    <row r="8" spans="1:14">
      <c r="A8" s="3">
        <v>2045</v>
      </c>
      <c r="B8" s="4">
        <v>27400</v>
      </c>
      <c r="C8" s="4">
        <v>9000</v>
      </c>
      <c r="D8" s="4">
        <v>135800</v>
      </c>
      <c r="E8" s="4">
        <v>15000</v>
      </c>
      <c r="F8" s="4">
        <v>12200</v>
      </c>
      <c r="G8" s="4">
        <v>19500</v>
      </c>
      <c r="H8" s="4">
        <v>132400</v>
      </c>
      <c r="I8" s="4">
        <v>420</v>
      </c>
      <c r="J8" s="4">
        <v>14000</v>
      </c>
      <c r="K8" s="4">
        <v>12600</v>
      </c>
      <c r="L8" s="4">
        <v>60200</v>
      </c>
      <c r="M8" s="4">
        <v>17458</v>
      </c>
      <c r="N8" s="4">
        <f>[1]Sheet1!$N$3*0.02</f>
        <v>9800</v>
      </c>
    </row>
    <row r="9" spans="1:14">
      <c r="A9" s="3">
        <v>2050</v>
      </c>
      <c r="B9" s="4">
        <v>27400</v>
      </c>
      <c r="C9" s="4">
        <v>9000</v>
      </c>
      <c r="D9" s="4">
        <v>135800</v>
      </c>
      <c r="E9" s="4">
        <v>15000</v>
      </c>
      <c r="F9" s="4">
        <v>12200</v>
      </c>
      <c r="G9" s="4">
        <v>19500</v>
      </c>
      <c r="H9" s="4">
        <v>132400</v>
      </c>
      <c r="I9" s="4">
        <v>420</v>
      </c>
      <c r="J9" s="4">
        <v>14000</v>
      </c>
      <c r="K9" s="4">
        <v>12600</v>
      </c>
      <c r="L9" s="4">
        <v>60200</v>
      </c>
      <c r="M9" s="4">
        <v>17458</v>
      </c>
      <c r="N9" s="4">
        <f>[1]Sheet1!$N$3*0.02</f>
        <v>9800</v>
      </c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2026-03-10T04:19:05Z</dcterms:modified>
</cp:coreProperties>
</file>