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PREP-SHOT_sherry_nov\PREP-SHOT_sherry_nov\default_parameter\"/>
    </mc:Choice>
  </mc:AlternateContent>
  <xr:revisionPtr revIDLastSave="0" documentId="13_ncr:1_{24842A99-FF8F-49B1-99C5-967B5F8F6F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3" i="1"/>
  <c r="L4" i="1"/>
  <c r="L5" i="1"/>
  <c r="L6" i="1"/>
  <c r="L7" i="1"/>
  <c r="L8" i="1"/>
  <c r="L9" i="1"/>
  <c r="L3" i="1"/>
  <c r="J4" i="1"/>
  <c r="J5" i="1"/>
  <c r="J6" i="1"/>
  <c r="J7" i="1"/>
  <c r="J8" i="1"/>
  <c r="J9" i="1"/>
  <c r="J3" i="1"/>
  <c r="I7" i="1"/>
  <c r="K7" i="1"/>
  <c r="M7" i="1"/>
  <c r="I8" i="1"/>
  <c r="K8" i="1"/>
  <c r="M8" i="1"/>
  <c r="I9" i="1"/>
  <c r="K9" i="1"/>
  <c r="M9" i="1"/>
  <c r="K4" i="1"/>
  <c r="K5" i="1"/>
  <c r="K6" i="1"/>
  <c r="K3" i="1"/>
  <c r="M4" i="1"/>
  <c r="M5" i="1"/>
  <c r="M6" i="1"/>
  <c r="M3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6FB5CC69-FFF6-47B9-A132-27E209D9F30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dollar/MW</t>
        </r>
      </text>
    </comment>
    <comment ref="B3" authorId="0" shapeId="0" xr:uid="{01A18D43-E335-45CA-838F-CDA67108925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
https://aseanenergy.org/wp-content/uploads/2024/09/8th-ASEAN-Energy-Outlook.pdf</t>
        </r>
      </text>
    </comment>
    <comment ref="C3" authorId="0" shapeId="0" xr:uid="{E7E2EB31-6950-40F6-AE49-F95FF816208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USD换成USD，使用Floating
https://aseanenergy.org/wp-content/uploads/2024/09/8th-ASEAN-Energy-Outlook.pdf</t>
        </r>
      </text>
    </comment>
    <comment ref="D3" authorId="0" shapeId="0" xr:uid="{B8967F02-842F-46BD-95E8-F640D026AEA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
https://aseanenergy.org/wp-content/uploads/2024/09/8th-ASEAN-Energy-Outlook.pdf</t>
        </r>
      </text>
    </comment>
    <comment ref="E3" authorId="0" shapeId="0" xr:uid="{E8ECBD9F-020F-45BC-ACC0-B1639936121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
https://aseanenergy.org/wp-content/uploads/2024/09/8th-ASEAN-Energy-Outlook.pdf</t>
        </r>
      </text>
    </comment>
    <comment ref="F3" authorId="0" shapeId="0" xr:uid="{D669E9FC-7AAB-4790-9A92-30ABAEFE0BB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cost to build the CCGT that burns H2.
https://docs.nlr.gov/docs/fy10osti/46719.pdf
Page 18
NREL report
reliable</t>
        </r>
      </text>
    </comment>
    <comment ref="G3" authorId="0" shapeId="0" xr:uid="{5E329EA8-FDED-4311-AF55-48F379664A0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
https://aseanenergy.org/wp-content/uploads/2024/09/8th-ASEAN-Energy-Outlook.pdf</t>
        </r>
      </text>
    </comment>
    <comment ref="H3" authorId="0" shapeId="0" xr:uid="{4E1CB0CC-15BB-4A00-9E62-6149D1BA5D5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Outlook, PDF Page 197, 把thousand USD换成USD
https://aseanenergy.org/wp-content/uploads/2024/09/8th-ASEAN-Energy-Outlook.pdf</t>
        </r>
      </text>
    </comment>
    <comment ref="I3" authorId="0" shapeId="0" xr:uid="{19BC24B9-4AD5-475A-912B-D112CED46B4B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 from Plentong Malaysia to Singapore:30km
</t>
        </r>
      </text>
    </comment>
    <comment ref="K3" authorId="0" shapeId="0" xr:uid="{8B0DFDAE-3DA8-4834-9273-BA68C5811F3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Distance:900
</t>
        </r>
      </text>
    </comment>
    <comment ref="M3" authorId="0" shapeId="0" xr:uid="{50AA40AB-7FF4-4945-B853-0F7F96D7871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Distance:https://www.distancefromto.net/distance-from-cambodia-to-singapore#google_vignette
</t>
        </r>
      </text>
    </comment>
    <comment ref="N3" authorId="0" shapeId="0" xr:uid="{2B8BB43F-B756-453F-BE7E-E6A530FDD0F9}">
      <text>
        <r>
          <rPr>
            <b/>
            <sz val="9"/>
            <color indexed="81"/>
            <rFont val="Tahoma"/>
            <charset val="1"/>
          </rPr>
          <t>Shuyue Sherry Yan:</t>
        </r>
        <r>
          <rPr>
            <sz val="9"/>
            <color indexed="81"/>
            <rFont val="Tahoma"/>
            <charset val="1"/>
          </rPr>
          <t xml:space="preserve">
Distance = 700km
https://www.sembcorp.com/sg/news-and-insights/news/2025/sembcorp-awarded-conditional-approval-by-ema-to-import-renewable-energy-from-sarawak-to-singapore/</t>
        </r>
      </text>
    </comment>
    <comment ref="I4" authorId="0" shapeId="0" xr:uid="{47C03A65-53F2-4D55-9F11-E53D14F99D1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 from Plentong Malaysia to Singapore:30km
</t>
        </r>
      </text>
    </comment>
    <comment ref="I5" authorId="0" shapeId="0" xr:uid="{10E298B0-9B64-4938-ABDD-378215667B0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 from Plentong Malaysia to Singapore:30km
</t>
        </r>
      </text>
    </comment>
    <comment ref="I6" authorId="0" shapeId="0" xr:uid="{5141095C-9549-4576-BEC8-8E3FD0D1CCC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 from Plentong Malaysia to Singapore:30km
</t>
        </r>
      </text>
    </comment>
    <comment ref="I7" authorId="0" shapeId="0" xr:uid="{E786956F-ADE7-4491-B10C-FA63059E1F2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Distance from Plentong Malaysia to Singapore:30km
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<sst xmlns="http://schemas.openxmlformats.org/spreadsheetml/2006/main" count="15" uniqueCount="15">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</sst>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等线"/>
      <charset val="1"/>
    </font>
    <font>
      <sz val="11"/>
      <color rgb="FF000000"/>
      <name val="等线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Fill="1" applyBorder="1"/>
    <xf numFmtId="0" fontId="0" fillId="0" borderId="1" xfId="0" applyBorder="1"/>
    <xf numFmtId="1" fontId="2" fillId="0" borderId="1" xfId="1" applyNumberFormat="1" applyBorder="1"/>
    <xf numFmtId="1" fontId="2" fillId="3" borderId="1" xfId="1" applyNumberFormat="1" applyFill="1" applyBorder="1"/>
    <xf numFmtId="0" fontId="1" fillId="0" borderId="2" xfId="0" applyFont="1" applyBorder="1" applyAlignment="1">
      <alignment horizontal="center" vertical="top"/>
    </xf>
  </cellXfs>
  <cellStyles count="4">
    <cellStyle name="Normal 2" xfId="1" xr:uid="{727DDCA9-3C17-4C0B-8DE0-7B8C3F03123C}"/>
    <cellStyle name="Normal 3" xfId="2" xr:uid="{191EB7BA-8D46-4A51-B54D-D38819CEFC12}"/>
    <cellStyle name="常规" xfId="0" builtinId="0"/>
    <cellStyle name="常规 2" xfId="3" xr:uid="{61925F02-0D34-4520-AC1D-62E394C7D9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95" workbookViewId="0">
      <selection activeCell="G14" sqref="G14"/>
    </sheetView>
  </sheetViews>
  <sheetFormatPr defaultColWidth="8.77734375" defaultRowHeight="14.4"/>
  <cols>
    <col min="2" max="2" width="12.33203125" customWidth="1"/>
    <col min="3" max="3" width="12.109375" customWidth="1"/>
    <col min="4" max="4" width="11.88671875" customWidth="1"/>
    <col min="5" max="5" width="14.33203125" bestFit="1" customWidth="1"/>
    <col min="6" max="6" width="15.6640625" bestFit="1" customWidth="1"/>
    <col min="7" max="8" width="11.5546875" bestFit="1" customWidth="1"/>
    <col min="9" max="9" width="16.6640625" customWidth="1"/>
    <col min="10" max="13" width="21.33203125" customWidth="1"/>
    <col min="14" max="14" width="20.88671875" customWidth="1"/>
  </cols>
  <sheetData>
    <row r="1" spans="1:14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6" t="s">
        <v>14</v>
      </c>
    </row>
    <row r="2" spans="1:14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>
        <v>2020</v>
      </c>
      <c r="B3" s="4">
        <v>918000</v>
      </c>
      <c r="C3" s="4">
        <v>970000</v>
      </c>
      <c r="D3" s="4">
        <v>3507000</v>
      </c>
      <c r="E3" s="5">
        <v>515000</v>
      </c>
      <c r="F3" s="5">
        <v>1000000</v>
      </c>
      <c r="G3" s="4">
        <v>4100000</v>
      </c>
      <c r="H3" s="4">
        <v>8184000</v>
      </c>
      <c r="I3" s="4">
        <f>30*700</f>
        <v>21000</v>
      </c>
      <c r="J3" s="4">
        <f>1000*700</f>
        <v>700000</v>
      </c>
      <c r="K3" s="4">
        <f>900*700</f>
        <v>630000</v>
      </c>
      <c r="L3" s="4">
        <f>4300*700</f>
        <v>3010000</v>
      </c>
      <c r="M3" s="4">
        <f>1247*700</f>
        <v>872900</v>
      </c>
      <c r="N3" s="4">
        <f>700*700</f>
        <v>490000</v>
      </c>
    </row>
    <row r="4" spans="1:14">
      <c r="A4" s="3">
        <v>2025</v>
      </c>
      <c r="B4" s="4">
        <v>918000</v>
      </c>
      <c r="C4" s="4">
        <v>970000</v>
      </c>
      <c r="D4" s="4">
        <v>3507000</v>
      </c>
      <c r="E4" s="5">
        <v>515000</v>
      </c>
      <c r="F4" s="5">
        <v>1000000</v>
      </c>
      <c r="G4" s="4">
        <v>4100000</v>
      </c>
      <c r="H4" s="4">
        <v>8184000</v>
      </c>
      <c r="I4" s="4">
        <f t="shared" ref="I4:I9" si="0">30*700</f>
        <v>21000</v>
      </c>
      <c r="J4" s="4">
        <f t="shared" ref="J4:J9" si="1">1000*700</f>
        <v>700000</v>
      </c>
      <c r="K4" s="4">
        <f t="shared" ref="K4:K9" si="2">900*700</f>
        <v>630000</v>
      </c>
      <c r="L4" s="4">
        <f t="shared" ref="L4:L9" si="3">4300*700</f>
        <v>3010000</v>
      </c>
      <c r="M4" s="4">
        <f t="shared" ref="M4:M9" si="4">1247*700</f>
        <v>872900</v>
      </c>
      <c r="N4" s="4">
        <f t="shared" ref="N4:N9" si="5">700*700</f>
        <v>490000</v>
      </c>
    </row>
    <row r="5" spans="1:14">
      <c r="A5" s="3">
        <v>2030</v>
      </c>
      <c r="B5" s="4">
        <v>918000</v>
      </c>
      <c r="C5" s="4">
        <v>970000</v>
      </c>
      <c r="D5" s="4">
        <v>3507000</v>
      </c>
      <c r="E5" s="5">
        <v>515000</v>
      </c>
      <c r="F5" s="5">
        <v>1000000</v>
      </c>
      <c r="G5" s="4">
        <v>4100000</v>
      </c>
      <c r="H5" s="4">
        <v>8184000</v>
      </c>
      <c r="I5" s="4">
        <f t="shared" si="0"/>
        <v>21000</v>
      </c>
      <c r="J5" s="4">
        <f t="shared" si="1"/>
        <v>700000</v>
      </c>
      <c r="K5" s="4">
        <f t="shared" si="2"/>
        <v>630000</v>
      </c>
      <c r="L5" s="4">
        <f t="shared" si="3"/>
        <v>3010000</v>
      </c>
      <c r="M5" s="4">
        <f t="shared" si="4"/>
        <v>872900</v>
      </c>
      <c r="N5" s="4">
        <f t="shared" si="5"/>
        <v>490000</v>
      </c>
    </row>
    <row r="6" spans="1:14">
      <c r="A6" s="3">
        <v>2035</v>
      </c>
      <c r="B6" s="4">
        <v>918000</v>
      </c>
      <c r="C6" s="4">
        <v>970000</v>
      </c>
      <c r="D6" s="4">
        <v>3507000</v>
      </c>
      <c r="E6" s="5">
        <v>515000</v>
      </c>
      <c r="F6" s="5">
        <v>1000000</v>
      </c>
      <c r="G6" s="4">
        <v>4100000</v>
      </c>
      <c r="H6" s="4">
        <v>8184000</v>
      </c>
      <c r="I6" s="4">
        <f t="shared" si="0"/>
        <v>21000</v>
      </c>
      <c r="J6" s="4">
        <f t="shared" si="1"/>
        <v>700000</v>
      </c>
      <c r="K6" s="4">
        <f t="shared" si="2"/>
        <v>630000</v>
      </c>
      <c r="L6" s="4">
        <f t="shared" si="3"/>
        <v>3010000</v>
      </c>
      <c r="M6" s="4">
        <f t="shared" si="4"/>
        <v>872900</v>
      </c>
      <c r="N6" s="4">
        <f t="shared" si="5"/>
        <v>490000</v>
      </c>
    </row>
    <row r="7" spans="1:14">
      <c r="A7" s="3">
        <v>2040</v>
      </c>
      <c r="B7" s="4">
        <v>918000</v>
      </c>
      <c r="C7" s="4">
        <v>970000</v>
      </c>
      <c r="D7" s="4">
        <v>3507000</v>
      </c>
      <c r="E7" s="5">
        <v>515000</v>
      </c>
      <c r="F7" s="5">
        <v>1000000</v>
      </c>
      <c r="G7" s="4">
        <v>4100000</v>
      </c>
      <c r="H7" s="4">
        <v>8184000</v>
      </c>
      <c r="I7" s="4">
        <f t="shared" si="0"/>
        <v>21000</v>
      </c>
      <c r="J7" s="4">
        <f t="shared" si="1"/>
        <v>700000</v>
      </c>
      <c r="K7" s="4">
        <f t="shared" si="2"/>
        <v>630000</v>
      </c>
      <c r="L7" s="4">
        <f t="shared" si="3"/>
        <v>3010000</v>
      </c>
      <c r="M7" s="4">
        <f t="shared" si="4"/>
        <v>872900</v>
      </c>
      <c r="N7" s="4">
        <f t="shared" si="5"/>
        <v>490000</v>
      </c>
    </row>
    <row r="8" spans="1:14">
      <c r="A8" s="3">
        <v>2045</v>
      </c>
      <c r="B8" s="4">
        <v>918000</v>
      </c>
      <c r="C8" s="4">
        <v>970000</v>
      </c>
      <c r="D8" s="4">
        <v>3507000</v>
      </c>
      <c r="E8" s="5">
        <v>515000</v>
      </c>
      <c r="F8" s="5">
        <v>1000000</v>
      </c>
      <c r="G8" s="4">
        <v>4100000</v>
      </c>
      <c r="H8" s="4">
        <v>8184000</v>
      </c>
      <c r="I8" s="4">
        <f t="shared" si="0"/>
        <v>21000</v>
      </c>
      <c r="J8" s="4">
        <f t="shared" si="1"/>
        <v>700000</v>
      </c>
      <c r="K8" s="4">
        <f t="shared" si="2"/>
        <v>630000</v>
      </c>
      <c r="L8" s="4">
        <f t="shared" si="3"/>
        <v>3010000</v>
      </c>
      <c r="M8" s="4">
        <f t="shared" si="4"/>
        <v>872900</v>
      </c>
      <c r="N8" s="4">
        <f t="shared" si="5"/>
        <v>490000</v>
      </c>
    </row>
    <row r="9" spans="1:14">
      <c r="A9" s="3">
        <v>2050</v>
      </c>
      <c r="B9" s="4">
        <v>918000</v>
      </c>
      <c r="C9" s="4">
        <v>970000</v>
      </c>
      <c r="D9" s="4">
        <v>3507000</v>
      </c>
      <c r="E9" s="5">
        <v>515000</v>
      </c>
      <c r="F9" s="5">
        <v>1000000</v>
      </c>
      <c r="G9" s="4">
        <v>4100000</v>
      </c>
      <c r="H9" s="4">
        <v>8184000</v>
      </c>
      <c r="I9" s="4">
        <f t="shared" si="0"/>
        <v>21000</v>
      </c>
      <c r="J9" s="4">
        <f t="shared" si="1"/>
        <v>700000</v>
      </c>
      <c r="K9" s="4">
        <f t="shared" si="2"/>
        <v>630000</v>
      </c>
      <c r="L9" s="4">
        <f t="shared" si="3"/>
        <v>3010000</v>
      </c>
      <c r="M9" s="4">
        <f t="shared" si="4"/>
        <v>872900</v>
      </c>
      <c r="N9" s="4">
        <f t="shared" si="5"/>
        <v>490000</v>
      </c>
    </row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2026-03-10T03:39:15Z</dcterms:modified>
</cp:coreProperties>
</file>