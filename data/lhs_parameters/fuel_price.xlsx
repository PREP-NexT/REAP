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2C76D5A8-1505-4F94-B54A-60525167AF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 s="1"/>
  <c r="F8" i="1" s="1"/>
  <c r="F9" i="1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  <author>tc={80994DB7-7A7F-41CC-A51C-C62ECF4CDFFB}</author>
  </authors>
  <commentList>
    <comment ref="B3" authorId="0" shapeId="0" xr:uid="{97145DF7-F1AD-4BE1-A155-C67B0F8FBF4D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pg177 of: https://aseanenergy.org/the-7th-asean-energy-outlook/</t>
        </r>
      </text>
    </comment>
    <comment ref="D3" authorId="0" shapeId="0" xr:uid="{0F2E8F73-1F3A-4A87-95DC-7F80BB6B3BBB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pg177 of: https://aseanenergy.org/the-7th-asean-energy-outlook/</t>
        </r>
      </text>
    </comment>
    <comment ref="F3" authorId="1" shapeId="0" xr:uid="{80994DB7-7A7F-41CC-A51C-C62ECF4CDFFB}">
      <text>
        <t>[Threaded comment]
Your version of Excel allows you to read this threaded comment; however, any edits to it will get removed if the file is opened in a newer version of Excel. Learn more: https://go.microsoft.com/fwlink/?linkid=870924
Comment:
    IRENA Making the Breakthrough Page 8 Figure 1 2020 at $5 USD/KG -&gt; 148 USD/MWh</t>
      </text>
    </comment>
    <comment ref="I3" authorId="0" shapeId="0" xr:uid="{657B86F2-518D-40C8-A05B-C9F088F134F3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1019 LAK per kWh to USD per MWh = 52.99 USD per MWh
https://www.edl.com.la/en/</t>
        </r>
      </text>
    </comment>
    <comment ref="J3" authorId="0" shapeId="0" xr:uid="{D417FA9F-FC47-4A62-9D74-B314FF1C7225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2629 VND/kWh to USD/MWh
https://en.evn.com.vn/d6/gioi-thieu-d/RETAIL-ELECTRICITY-TARIFF-9-28-252.aspx
14 Nov 2023
</t>
        </r>
      </text>
    </comment>
    <comment ref="K3" authorId="0" shapeId="0" xr:uid="{20292E87-67F3-4B03-AFF4-73CDFA215DE3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Rp1,522.88 per kWh to USD per MWh
https://setkab.go.id/en/govt-adjusts-electricity-tariffs/</t>
        </r>
      </text>
    </comment>
    <comment ref="L3" authorId="0" shapeId="0" xr:uid="{F292243D-423A-4E7D-9B65-00503A7BA579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1 AUD = 0.65 USD. Using this rate: 183.8385759 AUD × 0.65 USD/AUD ≈ 119.50 USD 183.8385759 AUD×0.65 USD/AUD≈119.50 USD
https://www.aer.gov.au/industry/registers/charts/daily-q1-base-contract-prices-and-traded-volumes-queensland
2023 Q1 average price
</t>
        </r>
      </text>
    </comment>
    <comment ref="M3" authorId="0" shapeId="0" xr:uid="{E7BEB596-2878-4DAA-BD36-A32309BC1D25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https://www.khmertimeskh.com/501415854/cambodias-cost-of-electricity-to-industrial-users-highest-in-region/</t>
        </r>
      </text>
    </comment>
    <comment ref="N3" authorId="0" shapeId="0" xr:uid="{F7BAC663-6AD6-4B5E-8131-98659F3A73AE}">
      <text>
        <r>
          <rPr>
            <b/>
            <sz val="9"/>
            <color indexed="81"/>
            <rFont val="Tahoma"/>
            <charset val="1"/>
          </rPr>
          <t>Shuyue Sherry Yan:</t>
        </r>
        <r>
          <rPr>
            <sz val="9"/>
            <color indexed="81"/>
            <rFont val="Tahoma"/>
            <charset val="1"/>
          </rPr>
          <t xml:space="preserve">
https://www.straitstimes.com/asia/se-asia/malaysia-pm-confirms-slight-increase-in-electricity-tariff-hike-for-industry-sector
Given:
45.62 sen / kWh = 0.4562 MYR / kWh
1 MWh = 1,000 kWh
1 MYR ≈ 0.24 USD
45.62 sen/kWh = 0.4562 MYR/kWh
→ 0.4562 × 1,000 = 456.200 MYR/MWh
→ 456.200 × 0.24 = 109.48 USD/MWh</t>
        </r>
      </text>
    </comment>
    <comment ref="F4" authorId="0" shapeId="0" xr:uid="{A46BB9D9-9607-4558-B08B-77AE62B4B596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IRENA Making the Breakthrough Page 8 Figure 1 2025 at $4.5 USD/KG -&gt; 135 USD/MWh</t>
        </r>
      </text>
    </comment>
  </commentList>
</comments>
</file>

<file path=xl/sharedStrings.xml><?xml version="1.0" encoding="utf-8"?>
<sst xmlns="http://schemas.openxmlformats.org/spreadsheetml/2006/main" count="15" uniqueCount="15">
  <si>
    <t>tech</t>
  </si>
  <si>
    <t>Solar</t>
  </si>
  <si>
    <t>year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</si>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</sst>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uyue Sherry Yan" id="{A63A8B19-4EED-4106-A5EA-4DCFDF2E38A5}" userId="8cc9e566a864922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4-01-20T16:28:58.08" personId="{A63A8B19-4EED-4106-A5EA-4DCFDF2E38A5}" id="{80994DB7-7A7F-41CC-A51C-C62ECF4CDFFB}">
    <text>IRENA Making the Breakthrough Page 8 Figure 1 2020 at $5 USD/KG -&gt; 148 USD/MWh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F1" zoomScale="107" workbookViewId="0">
      <selection activeCell="O10" sqref="O10"/>
    </sheetView>
  </sheetViews>
  <sheetFormatPr defaultColWidth="8.77734375" defaultRowHeight="14.4" x14ac:dyDescent="0.3"/>
  <cols>
    <col min="4" max="4" width="9.44140625" bestFit="1" customWidth="1"/>
    <col min="5" max="5" width="14.33203125" bestFit="1" customWidth="1"/>
    <col min="6" max="6" width="15.77734375" bestFit="1" customWidth="1"/>
    <col min="7" max="7" width="10.88671875" bestFit="1" customWidth="1"/>
    <col min="9" max="9" width="16" bestFit="1" customWidth="1"/>
    <col min="10" max="10" width="19.6640625" bestFit="1" customWidth="1"/>
    <col min="11" max="11" width="20.77734375" bestFit="1" customWidth="1"/>
    <col min="12" max="12" width="20" bestFit="1" customWidth="1"/>
    <col min="13" max="14" width="21.109375" bestFit="1" customWidth="1"/>
  </cols>
  <sheetData>
    <row r="1" spans="1:14" x14ac:dyDescent="0.3">
      <c r="A1" s="1" t="s">
        <v>0</v>
      </c>
      <c r="B1" s="1" t="s">
        <v>3</v>
      </c>
      <c r="C1" s="1" t="s">
        <v>1</v>
      </c>
      <c r="D1" s="1" t="s">
        <v>4</v>
      </c>
      <c r="E1" s="1" t="s">
        <v>13</v>
      </c>
      <c r="F1" s="1" t="s">
        <v>12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14</v>
      </c>
    </row>
    <row r="2" spans="1:14" x14ac:dyDescent="0.3">
      <c r="A2" t="s">
        <v>2</v>
      </c>
    </row>
    <row r="3" spans="1:14" x14ac:dyDescent="0.3">
      <c r="A3">
        <v>2020</v>
      </c>
      <c r="B3" s="2">
        <v>28.4</v>
      </c>
      <c r="C3" s="2">
        <v>0</v>
      </c>
      <c r="D3" s="2">
        <v>2.2999999999999998</v>
      </c>
      <c r="E3" s="2">
        <v>0</v>
      </c>
      <c r="F3" s="2">
        <v>148</v>
      </c>
      <c r="G3" s="2">
        <v>0</v>
      </c>
      <c r="H3" s="2">
        <v>3.8</v>
      </c>
      <c r="I3" s="2">
        <v>52.99</v>
      </c>
      <c r="J3" s="2">
        <v>110.51</v>
      </c>
      <c r="K3" s="2">
        <v>101.53</v>
      </c>
      <c r="L3" s="2">
        <v>119.5</v>
      </c>
      <c r="M3" s="2">
        <v>137</v>
      </c>
      <c r="N3" s="2">
        <v>109.48</v>
      </c>
    </row>
    <row r="4" spans="1:14" x14ac:dyDescent="0.3">
      <c r="A4">
        <v>2025</v>
      </c>
      <c r="B4" s="2">
        <v>28.4</v>
      </c>
      <c r="C4" s="2">
        <v>0</v>
      </c>
      <c r="D4" s="2">
        <v>2.2999999999999998</v>
      </c>
      <c r="E4" s="2">
        <v>0</v>
      </c>
      <c r="F4" s="2">
        <v>135</v>
      </c>
      <c r="G4" s="2">
        <v>0</v>
      </c>
      <c r="H4" s="2">
        <v>3.8</v>
      </c>
      <c r="I4" s="2">
        <v>52.99</v>
      </c>
      <c r="J4" s="2">
        <v>110.51</v>
      </c>
      <c r="K4" s="2">
        <v>101.53</v>
      </c>
      <c r="L4" s="2">
        <v>119.5</v>
      </c>
      <c r="M4" s="2">
        <v>137</v>
      </c>
      <c r="N4" s="2">
        <v>109.48</v>
      </c>
    </row>
    <row r="5" spans="1:14" x14ac:dyDescent="0.3">
      <c r="A5">
        <v>2030</v>
      </c>
      <c r="B5" s="2">
        <v>27.9</v>
      </c>
      <c r="C5" s="2">
        <v>0</v>
      </c>
      <c r="D5" s="2">
        <v>2.2999999999999998</v>
      </c>
      <c r="E5" s="2">
        <v>0</v>
      </c>
      <c r="F5">
        <f>F4*((1-0.05)^5)</f>
        <v>104.4604265625</v>
      </c>
      <c r="G5" s="2">
        <v>0</v>
      </c>
      <c r="H5" s="2">
        <v>7.2</v>
      </c>
      <c r="I5" s="2">
        <v>52.99</v>
      </c>
      <c r="J5" s="2">
        <v>110.51</v>
      </c>
      <c r="K5" s="2">
        <v>101.53</v>
      </c>
      <c r="L5" s="2">
        <v>119.5</v>
      </c>
      <c r="M5" s="2">
        <v>137</v>
      </c>
      <c r="N5" s="2">
        <v>109.48</v>
      </c>
    </row>
    <row r="6" spans="1:14" x14ac:dyDescent="0.3">
      <c r="A6">
        <v>2035</v>
      </c>
      <c r="B6" s="2">
        <v>27.9</v>
      </c>
      <c r="C6" s="2">
        <v>0</v>
      </c>
      <c r="D6" s="2">
        <v>2.2999999999999998</v>
      </c>
      <c r="E6" s="2">
        <v>0</v>
      </c>
      <c r="F6">
        <f t="shared" ref="F6:F9" si="0">F5*((1-0.05)^5)</f>
        <v>80.829486797181147</v>
      </c>
      <c r="G6" s="2">
        <v>0</v>
      </c>
      <c r="H6" s="2">
        <v>7.2</v>
      </c>
      <c r="I6" s="2">
        <v>52.99</v>
      </c>
      <c r="J6" s="2">
        <v>110.51</v>
      </c>
      <c r="K6" s="2">
        <v>101.53</v>
      </c>
      <c r="L6" s="2">
        <v>119.5</v>
      </c>
      <c r="M6" s="2">
        <v>137</v>
      </c>
      <c r="N6" s="2">
        <v>109.48</v>
      </c>
    </row>
    <row r="7" spans="1:14" x14ac:dyDescent="0.3">
      <c r="A7">
        <v>2040</v>
      </c>
      <c r="B7" s="2">
        <v>27.9</v>
      </c>
      <c r="C7" s="2">
        <v>0</v>
      </c>
      <c r="D7" s="2">
        <v>2.2999999999999998</v>
      </c>
      <c r="E7" s="2">
        <v>0</v>
      </c>
      <c r="F7">
        <f t="shared" si="0"/>
        <v>62.544316071566698</v>
      </c>
      <c r="G7" s="2">
        <v>0</v>
      </c>
      <c r="H7" s="2">
        <v>10.8</v>
      </c>
      <c r="I7" s="2">
        <v>52.99</v>
      </c>
      <c r="J7" s="2">
        <v>110.51</v>
      </c>
      <c r="K7" s="2">
        <v>101.53</v>
      </c>
      <c r="L7" s="2">
        <v>119.5</v>
      </c>
      <c r="M7" s="2">
        <v>137</v>
      </c>
      <c r="N7" s="2">
        <v>109.48</v>
      </c>
    </row>
    <row r="8" spans="1:14" x14ac:dyDescent="0.3">
      <c r="A8">
        <v>2045</v>
      </c>
      <c r="B8" s="2">
        <v>27.9</v>
      </c>
      <c r="C8" s="2">
        <v>0</v>
      </c>
      <c r="D8" s="2">
        <v>2.2999999999999998</v>
      </c>
      <c r="E8" s="2">
        <v>0</v>
      </c>
      <c r="F8">
        <f t="shared" si="0"/>
        <v>48.395599525153195</v>
      </c>
      <c r="G8" s="2">
        <v>0</v>
      </c>
      <c r="H8" s="2">
        <v>10.8</v>
      </c>
      <c r="I8" s="2">
        <v>52.99</v>
      </c>
      <c r="J8" s="2">
        <v>110.51</v>
      </c>
      <c r="K8" s="2">
        <v>101.53</v>
      </c>
      <c r="L8" s="2">
        <v>119.5</v>
      </c>
      <c r="M8" s="2">
        <v>137</v>
      </c>
      <c r="N8" s="2">
        <v>109.48</v>
      </c>
    </row>
    <row r="9" spans="1:14" x14ac:dyDescent="0.3">
      <c r="A9">
        <v>2050</v>
      </c>
      <c r="B9" s="2">
        <v>27.9</v>
      </c>
      <c r="C9" s="2">
        <v>0</v>
      </c>
      <c r="D9" s="2">
        <v>2.2999999999999998</v>
      </c>
      <c r="E9" s="2">
        <v>0</v>
      </c>
      <c r="F9">
        <f t="shared" si="0"/>
        <v>37.447592371447591</v>
      </c>
      <c r="G9" s="2">
        <v>0</v>
      </c>
      <c r="H9" s="2">
        <v>14.4</v>
      </c>
      <c r="I9" s="2">
        <v>52.99</v>
      </c>
      <c r="J9" s="2">
        <v>110.51</v>
      </c>
      <c r="K9" s="2">
        <v>101.53</v>
      </c>
      <c r="L9" s="2">
        <v>119.5</v>
      </c>
      <c r="M9" s="2">
        <v>137</v>
      </c>
      <c r="N9" s="2">
        <v>109.48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2025-10-20T07:36:30Z</dcterms:modified>
</cp:coreProperties>
</file>